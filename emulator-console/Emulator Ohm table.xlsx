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in-my.sharepoint.com/personal/m_roger_automobili-pininfarina_com/Documents/"/>
    </mc:Choice>
  </mc:AlternateContent>
  <xr:revisionPtr revIDLastSave="41" documentId="8_{3DBDA600-605D-4512-9EB7-11278115BB62}" xr6:coauthVersionLast="47" xr6:coauthVersionMax="47" xr10:uidLastSave="{A0954F15-44E8-417A-A98E-DF057A2FC1F2}"/>
  <bookViews>
    <workbookView xWindow="-120" yWindow="-120" windowWidth="29040" windowHeight="15720" xr2:uid="{CF6BD6FB-301F-420C-A972-BFA70EDE6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J2" i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H2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<sst xmlns="http://schemas.openxmlformats.org/spreadsheetml/2006/main" count="11" uniqueCount="11">
  <si>
    <t>Level</t>
  </si>
  <si>
    <t>High</t>
  </si>
  <si>
    <t>Low</t>
  </si>
  <si>
    <t>Ohm</t>
  </si>
  <si>
    <t>Mask</t>
  </si>
  <si>
    <t>HighPow</t>
  </si>
  <si>
    <t>LowPow</t>
  </si>
  <si>
    <t>HighHex</t>
  </si>
  <si>
    <t>HighBin</t>
  </si>
  <si>
    <t>LowBin</t>
  </si>
  <si>
    <t>LowHex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</si>
</sst>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7C50-15D7-4A3E-B805-D7141FE99AD2}">
  <dimension ref="A1:K20"/>
  <sheetViews>
    <sheetView tabSelected="1" workbookViewId="0">
      <selection activeCell="K2" sqref="K2:K20"/>
    </sheetView>
  </sheetViews>
  <sheetFormatPr defaultRowHeight="15" x14ac:dyDescent="0.25"/>
  <cols>
    <col min="1" max="1" width="5.28515625" bestFit="1" customWidth="1"/>
    <col min="2" max="2" width="5" bestFit="1" customWidth="1"/>
    <col min="3" max="3" width="4.42578125" bestFit="1" customWidth="1"/>
    <col min="4" max="4" width="9.5703125" bestFit="1" customWidth="1"/>
    <col min="5" max="10" width="0" hidden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  <c r="H1" t="s">
        <v>9</v>
      </c>
      <c r="I1" t="s">
        <v>7</v>
      </c>
      <c r="J1" t="s">
        <v>10</v>
      </c>
      <c r="K1" t="s">
        <v>4</v>
      </c>
    </row>
    <row r="2" spans="1:11" x14ac:dyDescent="0.25">
      <c r="A2" s="2">
        <v>1</v>
      </c>
      <c r="B2" s="2">
        <v>7</v>
      </c>
      <c r="C2" s="2">
        <v>8</v>
      </c>
      <c r="D2" s="1">
        <f>1/(IF(B2=0,0,B2/2000)+IF(C2=0,0,C2/270))</f>
        <v>30.18446059250978</v>
      </c>
      <c r="E2">
        <f>POWER(2,B2)-1</f>
        <v>127</v>
      </c>
      <c r="F2">
        <f>POWER(2,C2)-1</f>
        <v>255</v>
      </c>
      <c r="G2" t="str">
        <f>DEC2BIN(E2,8)</f>
        <v>01111111</v>
      </c>
      <c r="H2" t="str">
        <f>DEC2BIN(F2,8)</f>
        <v>11111111</v>
      </c>
      <c r="I2" t="str">
        <f>DEC2HEX(E2,2)</f>
        <v>7F</v>
      </c>
      <c r="J2" t="str">
        <f>DEC2HEX(F2,2)</f>
        <v>FF</v>
      </c>
      <c r="K2" s="2" t="str">
        <f>I2&amp;J2</f>
        <v>7FFF</v>
      </c>
    </row>
    <row r="3" spans="1:11" x14ac:dyDescent="0.25">
      <c r="A3" s="2">
        <v>2</v>
      </c>
      <c r="B3" s="2">
        <v>6</v>
      </c>
      <c r="C3" s="2">
        <v>6</v>
      </c>
      <c r="D3" s="1">
        <f t="shared" ref="D3:D20" si="0">1/(IF(B3=0,0,B3/2000)+IF(C3=0,0,C3/270))</f>
        <v>39.647577092511014</v>
      </c>
      <c r="E3">
        <f t="shared" ref="E3:E20" si="1">POWER(2,B3)-1</f>
        <v>63</v>
      </c>
      <c r="F3">
        <f t="shared" ref="F3:F20" si="2">POWER(2,C3)-1</f>
        <v>63</v>
      </c>
      <c r="G3" t="str">
        <f t="shared" ref="G3:G20" si="3">DEC2BIN(E3,8)</f>
        <v>00111111</v>
      </c>
      <c r="H3" t="str">
        <f t="shared" ref="H3:H20" si="4">DEC2BIN(F3,8)</f>
        <v>00111111</v>
      </c>
      <c r="I3" t="str">
        <f t="shared" ref="I3:I20" si="5">DEC2HEX(E3,2)</f>
        <v>3F</v>
      </c>
      <c r="J3" t="str">
        <f t="shared" ref="J3:J20" si="6">DEC2HEX(F3,2)</f>
        <v>3F</v>
      </c>
      <c r="K3" s="2" t="str">
        <f t="shared" ref="K3:K20" si="7">I3&amp;J3</f>
        <v>3F3F</v>
      </c>
    </row>
    <row r="4" spans="1:11" x14ac:dyDescent="0.25">
      <c r="A4" s="2">
        <v>3</v>
      </c>
      <c r="B4" s="2">
        <v>3</v>
      </c>
      <c r="C4" s="2">
        <v>5</v>
      </c>
      <c r="D4" s="1">
        <f t="shared" si="0"/>
        <v>49.953746530989825</v>
      </c>
      <c r="E4">
        <f t="shared" si="1"/>
        <v>7</v>
      </c>
      <c r="F4">
        <f t="shared" si="2"/>
        <v>31</v>
      </c>
      <c r="G4" t="str">
        <f t="shared" si="3"/>
        <v>00000111</v>
      </c>
      <c r="H4" t="str">
        <f t="shared" si="4"/>
        <v>00011111</v>
      </c>
      <c r="I4" t="str">
        <f t="shared" si="5"/>
        <v>07</v>
      </c>
      <c r="J4" t="str">
        <f t="shared" si="6"/>
        <v>1F</v>
      </c>
      <c r="K4" s="2" t="str">
        <f t="shared" si="7"/>
        <v>071F</v>
      </c>
    </row>
    <row r="5" spans="1:11" x14ac:dyDescent="0.25">
      <c r="A5" s="2">
        <v>4</v>
      </c>
      <c r="B5" s="2">
        <v>4</v>
      </c>
      <c r="C5" s="2">
        <v>4</v>
      </c>
      <c r="D5" s="1">
        <f t="shared" si="0"/>
        <v>59.471365638766514</v>
      </c>
      <c r="E5">
        <f t="shared" si="1"/>
        <v>15</v>
      </c>
      <c r="F5">
        <f t="shared" si="2"/>
        <v>15</v>
      </c>
      <c r="G5" t="str">
        <f t="shared" si="3"/>
        <v>00001111</v>
      </c>
      <c r="H5" t="str">
        <f t="shared" si="4"/>
        <v>00001111</v>
      </c>
      <c r="I5" t="str">
        <f t="shared" si="5"/>
        <v>0F</v>
      </c>
      <c r="J5" t="str">
        <f t="shared" si="6"/>
        <v>0F</v>
      </c>
      <c r="K5" s="2" t="str">
        <f t="shared" si="7"/>
        <v>0F0F</v>
      </c>
    </row>
    <row r="6" spans="1:11" x14ac:dyDescent="0.25">
      <c r="A6" s="2">
        <v>5</v>
      </c>
      <c r="B6" s="2">
        <v>6</v>
      </c>
      <c r="C6" s="2">
        <v>3</v>
      </c>
      <c r="D6" s="1">
        <f t="shared" si="0"/>
        <v>70.866141732283452</v>
      </c>
      <c r="E6">
        <f t="shared" si="1"/>
        <v>63</v>
      </c>
      <c r="F6">
        <f t="shared" si="2"/>
        <v>7</v>
      </c>
      <c r="G6" t="str">
        <f t="shared" si="3"/>
        <v>00111111</v>
      </c>
      <c r="H6" t="str">
        <f t="shared" si="4"/>
        <v>00000111</v>
      </c>
      <c r="I6" t="str">
        <f t="shared" si="5"/>
        <v>3F</v>
      </c>
      <c r="J6" t="str">
        <f t="shared" si="6"/>
        <v>07</v>
      </c>
      <c r="K6" s="2" t="str">
        <f t="shared" si="7"/>
        <v>3F07</v>
      </c>
    </row>
    <row r="7" spans="1:11" x14ac:dyDescent="0.25">
      <c r="A7" s="2">
        <v>6</v>
      </c>
      <c r="B7" s="2">
        <v>3</v>
      </c>
      <c r="C7" s="2">
        <v>3</v>
      </c>
      <c r="D7" s="1">
        <f t="shared" si="0"/>
        <v>79.295154185022028</v>
      </c>
      <c r="E7">
        <f t="shared" si="1"/>
        <v>7</v>
      </c>
      <c r="F7">
        <f t="shared" si="2"/>
        <v>7</v>
      </c>
      <c r="G7" t="str">
        <f t="shared" si="3"/>
        <v>00000111</v>
      </c>
      <c r="H7" t="str">
        <f t="shared" si="4"/>
        <v>00000111</v>
      </c>
      <c r="I7" t="str">
        <f t="shared" si="5"/>
        <v>07</v>
      </c>
      <c r="J7" t="str">
        <f t="shared" si="6"/>
        <v>07</v>
      </c>
      <c r="K7" s="2" t="str">
        <f t="shared" si="7"/>
        <v>0707</v>
      </c>
    </row>
    <row r="8" spans="1:11" x14ac:dyDescent="0.25">
      <c r="A8" s="2">
        <v>7</v>
      </c>
      <c r="B8" s="2">
        <v>0</v>
      </c>
      <c r="C8" s="2">
        <v>3</v>
      </c>
      <c r="D8" s="1">
        <f t="shared" si="0"/>
        <v>90</v>
      </c>
      <c r="E8">
        <f t="shared" si="1"/>
        <v>0</v>
      </c>
      <c r="F8">
        <f t="shared" si="2"/>
        <v>7</v>
      </c>
      <c r="G8" t="str">
        <f t="shared" si="3"/>
        <v>00000000</v>
      </c>
      <c r="H8" t="str">
        <f t="shared" si="4"/>
        <v>00000111</v>
      </c>
      <c r="I8" t="str">
        <f t="shared" si="5"/>
        <v>00</v>
      </c>
      <c r="J8" t="str">
        <f t="shared" si="6"/>
        <v>07</v>
      </c>
      <c r="K8" s="2" t="str">
        <f t="shared" si="7"/>
        <v>0007</v>
      </c>
    </row>
    <row r="9" spans="1:11" x14ac:dyDescent="0.25">
      <c r="A9" s="2">
        <v>8</v>
      </c>
      <c r="B9" s="2">
        <v>5</v>
      </c>
      <c r="C9" s="2">
        <v>2</v>
      </c>
      <c r="D9" s="1">
        <f t="shared" si="0"/>
        <v>100.93457943925233</v>
      </c>
      <c r="E9">
        <f t="shared" si="1"/>
        <v>31</v>
      </c>
      <c r="F9">
        <f t="shared" si="2"/>
        <v>3</v>
      </c>
      <c r="G9" t="str">
        <f t="shared" si="3"/>
        <v>00011111</v>
      </c>
      <c r="H9" t="str">
        <f t="shared" si="4"/>
        <v>00000011</v>
      </c>
      <c r="I9" t="str">
        <f t="shared" si="5"/>
        <v>1F</v>
      </c>
      <c r="J9" t="str">
        <f t="shared" si="6"/>
        <v>03</v>
      </c>
      <c r="K9" s="2" t="str">
        <f t="shared" si="7"/>
        <v>1F03</v>
      </c>
    </row>
    <row r="10" spans="1:11" x14ac:dyDescent="0.25">
      <c r="A10" s="2">
        <v>9</v>
      </c>
      <c r="B10" s="2">
        <v>3</v>
      </c>
      <c r="C10" s="2">
        <v>2</v>
      </c>
      <c r="D10" s="1">
        <f t="shared" si="0"/>
        <v>112.26611226611227</v>
      </c>
      <c r="E10">
        <f t="shared" si="1"/>
        <v>7</v>
      </c>
      <c r="F10">
        <f t="shared" si="2"/>
        <v>3</v>
      </c>
      <c r="G10" t="str">
        <f t="shared" si="3"/>
        <v>00000111</v>
      </c>
      <c r="H10" t="str">
        <f t="shared" si="4"/>
        <v>00000011</v>
      </c>
      <c r="I10" t="str">
        <f t="shared" si="5"/>
        <v>07</v>
      </c>
      <c r="J10" t="str">
        <f t="shared" si="6"/>
        <v>03</v>
      </c>
      <c r="K10" s="2" t="str">
        <f t="shared" si="7"/>
        <v>0703</v>
      </c>
    </row>
    <row r="11" spans="1:11" x14ac:dyDescent="0.25">
      <c r="A11" s="2">
        <v>10</v>
      </c>
      <c r="B11" s="2">
        <v>2</v>
      </c>
      <c r="C11" s="2">
        <v>2</v>
      </c>
      <c r="D11" s="1">
        <f t="shared" si="0"/>
        <v>118.94273127753303</v>
      </c>
      <c r="E11">
        <f t="shared" si="1"/>
        <v>3</v>
      </c>
      <c r="F11">
        <f t="shared" si="2"/>
        <v>3</v>
      </c>
      <c r="G11" t="str">
        <f t="shared" si="3"/>
        <v>00000011</v>
      </c>
      <c r="H11" t="str">
        <f t="shared" si="4"/>
        <v>00000011</v>
      </c>
      <c r="I11" t="str">
        <f t="shared" si="5"/>
        <v>03</v>
      </c>
      <c r="J11" t="str">
        <f t="shared" si="6"/>
        <v>03</v>
      </c>
      <c r="K11" s="2" t="str">
        <f t="shared" si="7"/>
        <v>0303</v>
      </c>
    </row>
    <row r="12" spans="1:11" x14ac:dyDescent="0.25">
      <c r="A12" s="2">
        <v>11</v>
      </c>
      <c r="B12" s="2">
        <v>8</v>
      </c>
      <c r="C12" s="2">
        <v>1</v>
      </c>
      <c r="D12" s="1">
        <f t="shared" si="0"/>
        <v>129.80769230769229</v>
      </c>
      <c r="E12">
        <f t="shared" si="1"/>
        <v>255</v>
      </c>
      <c r="F12">
        <f t="shared" si="2"/>
        <v>1</v>
      </c>
      <c r="G12" t="str">
        <f t="shared" si="3"/>
        <v>11111111</v>
      </c>
      <c r="H12" t="str">
        <f t="shared" si="4"/>
        <v>00000001</v>
      </c>
      <c r="I12" t="str">
        <f t="shared" si="5"/>
        <v>FF</v>
      </c>
      <c r="J12" t="str">
        <f t="shared" si="6"/>
        <v>01</v>
      </c>
      <c r="K12" s="2" t="str">
        <f t="shared" si="7"/>
        <v>FF01</v>
      </c>
    </row>
    <row r="13" spans="1:11" x14ac:dyDescent="0.25">
      <c r="A13" s="2">
        <v>12</v>
      </c>
      <c r="B13" s="2">
        <v>7</v>
      </c>
      <c r="C13" s="2">
        <v>1</v>
      </c>
      <c r="D13" s="1">
        <f t="shared" si="0"/>
        <v>138.81748071979436</v>
      </c>
      <c r="E13">
        <f t="shared" si="1"/>
        <v>127</v>
      </c>
      <c r="F13">
        <f t="shared" si="2"/>
        <v>1</v>
      </c>
      <c r="G13" t="str">
        <f t="shared" si="3"/>
        <v>01111111</v>
      </c>
      <c r="H13" t="str">
        <f t="shared" si="4"/>
        <v>00000001</v>
      </c>
      <c r="I13" t="str">
        <f t="shared" si="5"/>
        <v>7F</v>
      </c>
      <c r="J13" t="str">
        <f t="shared" si="6"/>
        <v>01</v>
      </c>
      <c r="K13" s="2" t="str">
        <f t="shared" si="7"/>
        <v>7F01</v>
      </c>
    </row>
    <row r="14" spans="1:11" x14ac:dyDescent="0.25">
      <c r="A14" s="2">
        <v>13</v>
      </c>
      <c r="B14" s="2">
        <v>6</v>
      </c>
      <c r="C14" s="2">
        <v>1</v>
      </c>
      <c r="D14" s="1">
        <f t="shared" si="0"/>
        <v>149.17127071823205</v>
      </c>
      <c r="E14">
        <f t="shared" si="1"/>
        <v>63</v>
      </c>
      <c r="F14">
        <f t="shared" si="2"/>
        <v>1</v>
      </c>
      <c r="G14" t="str">
        <f t="shared" si="3"/>
        <v>00111111</v>
      </c>
      <c r="H14" t="str">
        <f t="shared" si="4"/>
        <v>00000001</v>
      </c>
      <c r="I14" t="str">
        <f t="shared" si="5"/>
        <v>3F</v>
      </c>
      <c r="J14" t="str">
        <f t="shared" si="6"/>
        <v>01</v>
      </c>
      <c r="K14" s="2" t="str">
        <f t="shared" si="7"/>
        <v>3F01</v>
      </c>
    </row>
    <row r="15" spans="1:11" x14ac:dyDescent="0.25">
      <c r="A15" s="2">
        <v>14</v>
      </c>
      <c r="B15" s="2">
        <v>5</v>
      </c>
      <c r="C15" s="2">
        <v>1</v>
      </c>
      <c r="D15" s="1">
        <f t="shared" si="0"/>
        <v>161.19402985074626</v>
      </c>
      <c r="E15">
        <f t="shared" si="1"/>
        <v>31</v>
      </c>
      <c r="F15">
        <f t="shared" si="2"/>
        <v>1</v>
      </c>
      <c r="G15" t="str">
        <f t="shared" si="3"/>
        <v>00011111</v>
      </c>
      <c r="H15" t="str">
        <f t="shared" si="4"/>
        <v>00000001</v>
      </c>
      <c r="I15" t="str">
        <f t="shared" si="5"/>
        <v>1F</v>
      </c>
      <c r="J15" t="str">
        <f t="shared" si="6"/>
        <v>01</v>
      </c>
      <c r="K15" s="2" t="str">
        <f t="shared" si="7"/>
        <v>1F01</v>
      </c>
    </row>
    <row r="16" spans="1:11" x14ac:dyDescent="0.25">
      <c r="A16" s="2">
        <v>15</v>
      </c>
      <c r="B16" s="2">
        <v>4</v>
      </c>
      <c r="C16" s="2">
        <v>1</v>
      </c>
      <c r="D16" s="1">
        <f t="shared" si="0"/>
        <v>175.32467532467533</v>
      </c>
      <c r="E16">
        <f t="shared" si="1"/>
        <v>15</v>
      </c>
      <c r="F16">
        <f t="shared" si="2"/>
        <v>1</v>
      </c>
      <c r="G16" t="str">
        <f t="shared" si="3"/>
        <v>00001111</v>
      </c>
      <c r="H16" t="str">
        <f t="shared" si="4"/>
        <v>00000001</v>
      </c>
      <c r="I16" t="str">
        <f t="shared" si="5"/>
        <v>0F</v>
      </c>
      <c r="J16" t="str">
        <f t="shared" si="6"/>
        <v>01</v>
      </c>
      <c r="K16" s="2" t="str">
        <f t="shared" si="7"/>
        <v>0F01</v>
      </c>
    </row>
    <row r="17" spans="1:11" x14ac:dyDescent="0.25">
      <c r="A17" s="2">
        <v>16</v>
      </c>
      <c r="B17" s="2">
        <v>3</v>
      </c>
      <c r="C17" s="2">
        <v>1</v>
      </c>
      <c r="D17" s="1">
        <f t="shared" si="0"/>
        <v>192.17081850533808</v>
      </c>
      <c r="E17">
        <f t="shared" si="1"/>
        <v>7</v>
      </c>
      <c r="F17">
        <f t="shared" si="2"/>
        <v>1</v>
      </c>
      <c r="G17" t="str">
        <f t="shared" si="3"/>
        <v>00000111</v>
      </c>
      <c r="H17" t="str">
        <f t="shared" si="4"/>
        <v>00000001</v>
      </c>
      <c r="I17" t="str">
        <f t="shared" si="5"/>
        <v>07</v>
      </c>
      <c r="J17" t="str">
        <f t="shared" si="6"/>
        <v>01</v>
      </c>
      <c r="K17" s="2" t="str">
        <f t="shared" si="7"/>
        <v>0701</v>
      </c>
    </row>
    <row r="18" spans="1:11" x14ac:dyDescent="0.25">
      <c r="A18" s="2">
        <v>17</v>
      </c>
      <c r="B18" s="2">
        <v>2</v>
      </c>
      <c r="C18" s="2">
        <v>1</v>
      </c>
      <c r="D18" s="1">
        <f t="shared" si="0"/>
        <v>212.5984251968504</v>
      </c>
      <c r="E18">
        <f t="shared" si="1"/>
        <v>3</v>
      </c>
      <c r="F18">
        <f t="shared" si="2"/>
        <v>1</v>
      </c>
      <c r="G18" t="str">
        <f t="shared" si="3"/>
        <v>00000011</v>
      </c>
      <c r="H18" t="str">
        <f t="shared" si="4"/>
        <v>00000001</v>
      </c>
      <c r="I18" t="str">
        <f t="shared" si="5"/>
        <v>03</v>
      </c>
      <c r="J18" t="str">
        <f t="shared" si="6"/>
        <v>01</v>
      </c>
      <c r="K18" s="2" t="str">
        <f t="shared" si="7"/>
        <v>0301</v>
      </c>
    </row>
    <row r="19" spans="1:11" x14ac:dyDescent="0.25">
      <c r="A19" s="2">
        <v>18</v>
      </c>
      <c r="B19" s="2">
        <v>1</v>
      </c>
      <c r="C19" s="2">
        <v>1</v>
      </c>
      <c r="D19" s="1">
        <f t="shared" si="0"/>
        <v>237.88546255506606</v>
      </c>
      <c r="E19">
        <f t="shared" si="1"/>
        <v>1</v>
      </c>
      <c r="F19">
        <f t="shared" si="2"/>
        <v>1</v>
      </c>
      <c r="G19" t="str">
        <f t="shared" si="3"/>
        <v>00000001</v>
      </c>
      <c r="H19" t="str">
        <f t="shared" si="4"/>
        <v>00000001</v>
      </c>
      <c r="I19" t="str">
        <f t="shared" si="5"/>
        <v>01</v>
      </c>
      <c r="J19" t="str">
        <f t="shared" si="6"/>
        <v>01</v>
      </c>
      <c r="K19" s="2" t="str">
        <f t="shared" si="7"/>
        <v>0101</v>
      </c>
    </row>
    <row r="20" spans="1:11" x14ac:dyDescent="0.25">
      <c r="A20" s="2">
        <v>19</v>
      </c>
      <c r="B20" s="2">
        <v>0</v>
      </c>
      <c r="C20" s="2">
        <v>1</v>
      </c>
      <c r="D20" s="1">
        <f t="shared" si="0"/>
        <v>270</v>
      </c>
      <c r="E20">
        <f t="shared" si="1"/>
        <v>0</v>
      </c>
      <c r="F20">
        <f t="shared" si="2"/>
        <v>1</v>
      </c>
      <c r="G20" t="str">
        <f t="shared" si="3"/>
        <v>00000000</v>
      </c>
      <c r="H20" t="str">
        <f t="shared" si="4"/>
        <v>00000001</v>
      </c>
      <c r="I20" t="str">
        <f t="shared" si="5"/>
        <v>00</v>
      </c>
      <c r="J20" t="str">
        <f t="shared" si="6"/>
        <v>01</v>
      </c>
      <c r="K20" s="2" t="str">
        <f t="shared" si="7"/>
        <v>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Roger</dc:creator>
  <cp:lastModifiedBy>Martin Roger</cp:lastModifiedBy>
  <dcterms:created xsi:type="dcterms:W3CDTF">2025-09-29T09:30:04Z</dcterms:created>
  <dcterms:modified xsi:type="dcterms:W3CDTF">2025-09-29T10:06:33Z</dcterms:modified>
</cp:coreProperties>
</file>